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kuma\Downloads\"/>
    </mc:Choice>
  </mc:AlternateContent>
  <xr:revisionPtr revIDLastSave="0" documentId="8_{73DACFE5-F3F3-45A9-8E9E-FB31AD72F1EA}" xr6:coauthVersionLast="47" xr6:coauthVersionMax="47" xr10:uidLastSave="{00000000-0000-0000-0000-000000000000}"/>
  <bookViews>
    <workbookView xWindow="-120" yWindow="-120" windowWidth="29040" windowHeight="15720" xr2:uid="{6F318E5F-A861-4C16-8FBC-D27C29609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M13" i="1"/>
  <c r="M12" i="1"/>
  <c r="M11" i="1"/>
  <c r="M10" i="1"/>
  <c r="M9" i="1"/>
  <c r="M8" i="1"/>
  <c r="C13" i="1"/>
  <c r="C12" i="1"/>
  <c r="C11" i="1"/>
  <c r="C10" i="1"/>
  <c r="C9" i="1"/>
  <c r="C8" i="1"/>
  <c r="L8" i="1"/>
  <c r="L9" i="1" s="1"/>
  <c r="L10" i="1" s="1"/>
  <c r="L11" i="1" s="1"/>
  <c r="L12" i="1" s="1"/>
  <c r="B8" i="1"/>
  <c r="B9" i="1" s="1"/>
  <c r="B10" i="1" s="1"/>
  <c r="B11" i="1" s="1"/>
  <c r="S10" i="1" a="1"/>
  <c r="S9" i="1"/>
  <c r="I12" i="1"/>
  <c r="I11" i="1"/>
  <c r="I10" i="1"/>
  <c r="I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<sst xmlns="http://schemas.openxmlformats.org/spreadsheetml/2006/main" count="34" uniqueCount="19">
  <si>
    <t>year</t>
  </si>
  <si>
    <t>FCF $bn</t>
  </si>
  <si>
    <t>DCF$bn</t>
  </si>
  <si>
    <t>Revnue $bn</t>
  </si>
  <si>
    <t>Growth %</t>
  </si>
  <si>
    <t xml:space="preserve">assumed Growth </t>
  </si>
  <si>
    <t>TV $bn</t>
  </si>
  <si>
    <t>WACC:Nvidia</t>
  </si>
  <si>
    <t>Market cap $bn</t>
  </si>
  <si>
    <t>Total Debt $bn</t>
  </si>
  <si>
    <t>cost of equity %</t>
  </si>
  <si>
    <t>cost of debt %</t>
  </si>
  <si>
    <t>Corperate tax rate %</t>
  </si>
  <si>
    <t>WACC:AMD</t>
  </si>
  <si>
    <t>Total assets $bn</t>
  </si>
  <si>
    <t>Total Capital $bn</t>
  </si>
  <si>
    <t>Total DCF $bn</t>
  </si>
  <si>
    <t>Dr</t>
  </si>
  <si>
    <t xml:space="preserve">Dr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</si>
</sst>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DCB2-BDA9-49F2-AFE0-150BF6D55888}">
  <dimension ref="A7:S22"/>
  <sheetViews>
    <sheetView tabSelected="1" topLeftCell="A4" workbookViewId="0">
      <selection activeCell="M24" sqref="M24"/>
    </sheetView>
  </sheetViews>
  <sheetFormatPr defaultRowHeight="15" x14ac:dyDescent="0.25"/>
  <cols>
    <col min="1" max="1" width="18.7109375" bestFit="1" customWidth="1"/>
    <col min="2" max="2" width="14.5703125" bestFit="1" customWidth="1"/>
    <col min="3" max="3" width="13.7109375" bestFit="1" customWidth="1"/>
    <col min="4" max="4" width="19" customWidth="1"/>
    <col min="6" max="6" width="11" bestFit="1" customWidth="1"/>
    <col min="7" max="7" width="12" bestFit="1" customWidth="1"/>
    <col min="8" max="8" width="12.42578125" bestFit="1" customWidth="1"/>
    <col min="9" max="9" width="10.42578125" bestFit="1" customWidth="1"/>
    <col min="11" max="11" width="13.140625" bestFit="1" customWidth="1"/>
    <col min="13" max="14" width="16.42578125" bestFit="1" customWidth="1"/>
    <col min="16" max="16" width="12.7109375" bestFit="1" customWidth="1"/>
    <col min="17" max="17" width="12.42578125" bestFit="1" customWidth="1"/>
    <col min="18" max="18" width="10.42578125" bestFit="1" customWidth="1"/>
  </cols>
  <sheetData>
    <row r="7" spans="1:19" x14ac:dyDescent="0.25">
      <c r="A7" t="s">
        <v>0</v>
      </c>
      <c r="B7" t="s">
        <v>1</v>
      </c>
      <c r="C7" t="s">
        <v>2</v>
      </c>
      <c r="D7" t="s">
        <v>5</v>
      </c>
      <c r="E7" t="s">
        <v>6</v>
      </c>
      <c r="F7" t="s">
        <v>17</v>
      </c>
      <c r="G7" t="s">
        <v>0</v>
      </c>
      <c r="H7" t="s">
        <v>3</v>
      </c>
      <c r="I7" t="s">
        <v>4</v>
      </c>
      <c r="K7" t="s">
        <v>0</v>
      </c>
      <c r="L7" t="s">
        <v>1</v>
      </c>
      <c r="M7" t="s">
        <v>2</v>
      </c>
      <c r="N7" t="s">
        <v>5</v>
      </c>
      <c r="O7" t="s">
        <v>6</v>
      </c>
      <c r="P7" t="s">
        <v>18</v>
      </c>
      <c r="Q7" t="s">
        <v>0</v>
      </c>
      <c r="R7" t="s">
        <v>3</v>
      </c>
      <c r="S7" t="s">
        <v>4</v>
      </c>
    </row>
    <row r="8" spans="1:19" x14ac:dyDescent="0.25">
      <c r="A8">
        <v>2026</v>
      </c>
      <c r="B8">
        <f>(H12)*(1+(D8/100))</f>
        <v>131.28299999999999</v>
      </c>
      <c r="C8">
        <f>B8/(1+F8)^1</f>
        <v>119.35903263933082</v>
      </c>
      <c r="D8" s="1">
        <v>0.6</v>
      </c>
      <c r="E8">
        <v>249.93969999999999</v>
      </c>
      <c r="F8">
        <v>9.9900000000000003E-2</v>
      </c>
      <c r="G8">
        <v>2021</v>
      </c>
      <c r="H8">
        <v>16.68</v>
      </c>
      <c r="I8" s="1">
        <v>0.53</v>
      </c>
      <c r="K8">
        <v>2026</v>
      </c>
      <c r="L8">
        <f>R12*(1+0.4)</f>
        <v>48.44</v>
      </c>
      <c r="M8">
        <f>L8/(1+P8)</f>
        <v>44.04837683004456</v>
      </c>
      <c r="N8" s="1">
        <v>0.4</v>
      </c>
      <c r="O8">
        <v>86.424710000000005</v>
      </c>
      <c r="P8">
        <v>9.9699999999999997E-2</v>
      </c>
      <c r="Q8">
        <v>2021</v>
      </c>
      <c r="R8">
        <v>16.399999999999999</v>
      </c>
      <c r="S8" s="1">
        <v>0.68</v>
      </c>
    </row>
    <row r="9" spans="1:19" x14ac:dyDescent="0.25">
      <c r="A9">
        <v>2027</v>
      </c>
      <c r="B9">
        <f>B8*(1+(0.3))</f>
        <v>170.6679</v>
      </c>
      <c r="C9">
        <f>B9/(1+F8)^2</f>
        <v>141.07349980100926</v>
      </c>
      <c r="D9" s="1">
        <v>0.3</v>
      </c>
      <c r="G9">
        <v>2022</v>
      </c>
      <c r="H9">
        <v>26.91</v>
      </c>
      <c r="I9">
        <f>((H9-H8)/H8)*100</f>
        <v>61.330935251798572</v>
      </c>
      <c r="K9">
        <v>2027</v>
      </c>
      <c r="L9">
        <f>L8*(1+0.25)</f>
        <v>60.55</v>
      </c>
      <c r="M9">
        <f>L9/(1+P8)^2</f>
        <v>50.068628751073661</v>
      </c>
      <c r="N9" s="1">
        <v>0.25</v>
      </c>
      <c r="Q9">
        <v>2022</v>
      </c>
      <c r="R9">
        <v>23.6</v>
      </c>
      <c r="S9">
        <f>((R9-R8)/R8)*100</f>
        <v>43.902439024390269</v>
      </c>
    </row>
    <row r="10" spans="1:19" x14ac:dyDescent="0.25">
      <c r="A10">
        <v>2028</v>
      </c>
      <c r="B10">
        <f>B9*(1+0.2)</f>
        <v>204.80148</v>
      </c>
      <c r="C10">
        <f>B10/(1+F8)^3</f>
        <v>153.91235545159657</v>
      </c>
      <c r="D10" s="1">
        <v>0.2</v>
      </c>
      <c r="G10">
        <v>2023</v>
      </c>
      <c r="H10">
        <v>27</v>
      </c>
      <c r="I10">
        <f>((H10-H9)/H9)*100</f>
        <v>0.33444816053511656</v>
      </c>
      <c r="K10">
        <v>2028</v>
      </c>
      <c r="L10">
        <f>L9*(1+0.18)</f>
        <v>71.448999999999998</v>
      </c>
      <c r="M10">
        <f>L10/(1+P8)^3</f>
        <v>53.72463574271795</v>
      </c>
      <c r="N10" s="1">
        <v>0.18</v>
      </c>
      <c r="Q10">
        <v>2023</v>
      </c>
      <c r="R10">
        <v>22.7</v>
      </c>
      <c r="S10" cm="1">
        <f t="array" ref="S10:S12">((R10:R12-R9:R11)/R9:R11)*100</f>
        <v>-3.8135593220339068</v>
      </c>
    </row>
    <row r="11" spans="1:19" x14ac:dyDescent="0.25">
      <c r="A11">
        <v>2029</v>
      </c>
      <c r="B11">
        <f>B10*(1+0.13)</f>
        <v>231.42567239999997</v>
      </c>
      <c r="C11">
        <f>B11/(1+F8)^4</f>
        <v>158.12434008573879</v>
      </c>
      <c r="D11" s="2">
        <v>0.13</v>
      </c>
      <c r="G11">
        <v>2024</v>
      </c>
      <c r="H11">
        <v>60.9</v>
      </c>
      <c r="I11">
        <f>((H11-H10)/H10)*100</f>
        <v>125.55555555555556</v>
      </c>
      <c r="K11">
        <v>2029</v>
      </c>
      <c r="L11">
        <f>L10*(1+0.12)</f>
        <v>80.022880000000001</v>
      </c>
      <c r="M11">
        <f>L11/(1+P8)^4</f>
        <v>54.716369948025921</v>
      </c>
      <c r="N11" s="1">
        <v>0.12</v>
      </c>
      <c r="Q11">
        <v>2024</v>
      </c>
      <c r="R11">
        <v>25.8</v>
      </c>
      <c r="S11">
        <v>13.656387665198244</v>
      </c>
    </row>
    <row r="12" spans="1:19" x14ac:dyDescent="0.25">
      <c r="A12">
        <v>2030</v>
      </c>
      <c r="B12">
        <f>B11*(1+0.08)</f>
        <v>249.93972619199999</v>
      </c>
      <c r="C12">
        <f>B12/(1+F8)^5</f>
        <v>155.26346694481128</v>
      </c>
      <c r="D12" s="1">
        <v>0.08</v>
      </c>
      <c r="G12">
        <v>2025</v>
      </c>
      <c r="H12">
        <v>130.5</v>
      </c>
      <c r="I12">
        <f>((H12-H11)/H11)*100</f>
        <v>114.28571428571428</v>
      </c>
      <c r="K12">
        <v>2030</v>
      </c>
      <c r="L12">
        <f>L11*(1+0.08)</f>
        <v>86.424710400000009</v>
      </c>
      <c r="M12">
        <f>L12/(1+P8)^5</f>
        <v>53.736182180474678</v>
      </c>
      <c r="N12" s="1">
        <v>0.08</v>
      </c>
      <c r="Q12">
        <v>2025</v>
      </c>
      <c r="R12">
        <v>34.6</v>
      </c>
      <c r="S12">
        <v>34.108527131782942</v>
      </c>
    </row>
    <row r="13" spans="1:19" x14ac:dyDescent="0.25">
      <c r="A13" t="s">
        <v>16</v>
      </c>
      <c r="C13">
        <f>SUM(C8:C12)+E8/((1+F8)^5)</f>
        <v>882.99614559673239</v>
      </c>
      <c r="K13" t="s">
        <v>16</v>
      </c>
      <c r="M13">
        <f>SUM(M8:M12)+(O8/(1+P8)^5)</f>
        <v>310.03037538410393</v>
      </c>
    </row>
    <row r="16" spans="1:19" x14ac:dyDescent="0.25">
      <c r="A16" t="s">
        <v>7</v>
      </c>
      <c r="B16" s="2">
        <v>9.9900000000000003E-2</v>
      </c>
      <c r="D16" t="s">
        <v>13</v>
      </c>
      <c r="E16" s="2">
        <v>9.9699999999999997E-2</v>
      </c>
    </row>
    <row r="17" spans="1:5" x14ac:dyDescent="0.25">
      <c r="A17" t="s">
        <v>8</v>
      </c>
      <c r="B17">
        <v>5000</v>
      </c>
      <c r="D17" t="s">
        <v>8</v>
      </c>
      <c r="E17">
        <v>790</v>
      </c>
    </row>
    <row r="18" spans="1:5" x14ac:dyDescent="0.25">
      <c r="A18" t="s">
        <v>9</v>
      </c>
      <c r="B18">
        <v>9.9</v>
      </c>
      <c r="D18" t="s">
        <v>9</v>
      </c>
      <c r="E18">
        <v>3.87</v>
      </c>
    </row>
    <row r="19" spans="1:5" x14ac:dyDescent="0.25">
      <c r="A19" t="s">
        <v>15</v>
      </c>
      <c r="B19">
        <v>206</v>
      </c>
      <c r="D19" t="s">
        <v>14</v>
      </c>
      <c r="E19">
        <v>79</v>
      </c>
    </row>
    <row r="20" spans="1:5" x14ac:dyDescent="0.25">
      <c r="A20" t="s">
        <v>10</v>
      </c>
      <c r="B20">
        <v>10</v>
      </c>
      <c r="D20" t="s">
        <v>10</v>
      </c>
      <c r="E20">
        <v>10</v>
      </c>
    </row>
    <row r="21" spans="1:5" x14ac:dyDescent="0.25">
      <c r="A21" t="s">
        <v>11</v>
      </c>
      <c r="B21">
        <v>4</v>
      </c>
      <c r="D21" t="s">
        <v>11</v>
      </c>
      <c r="E21">
        <v>4.3</v>
      </c>
    </row>
    <row r="22" spans="1:5" x14ac:dyDescent="0.25">
      <c r="A22" t="s">
        <v>12</v>
      </c>
      <c r="B22">
        <v>13</v>
      </c>
      <c r="D22" t="s">
        <v>12</v>
      </c>
      <c r="E2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qyli</dc:creator>
  <cp:lastModifiedBy>harry qyli</cp:lastModifiedBy>
  <dcterms:created xsi:type="dcterms:W3CDTF">2026-08-03T21:41:16Z</dcterms:created>
  <dcterms:modified xsi:type="dcterms:W3CDTF">2026-08-04T02:17:34Z</dcterms:modified>
</cp:coreProperties>
</file>